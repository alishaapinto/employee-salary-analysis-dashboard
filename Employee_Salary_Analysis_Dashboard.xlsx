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3BECC30-6F53-4E5C-B69C-DA66F83769FD}" xr6:coauthVersionLast="47" xr6:coauthVersionMax="47" xr10:uidLastSave="{00000000-0000-0000-0000-000000000000}"/>
  <bookViews>
    <workbookView xWindow="-108" yWindow="-108" windowWidth="23256" windowHeight="12456" firstSheet="2" activeTab="3" xr2:uid="{296708F5-6C57-474A-814E-4854C0DA9A4E}"/>
  </bookViews>
  <sheets>
    <sheet name="Detail1" sheetId="7" r:id="rId1"/>
    <sheet name="Detail_Report" sheetId="8" r:id="rId2"/>
    <sheet name="Dashboard" sheetId="9" r:id="rId3"/>
    <sheet name="Employee_Data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30" i="1"/>
  <c r="B29" i="1"/>
  <c r="B27" i="1"/>
</calcChain>
</file>

<file path=xl/sharedStrings.xml><?xml version="1.0" encoding="utf-8"?>
<sst xmlns="http://schemas.openxmlformats.org/spreadsheetml/2006/main" count="392" uniqueCount="80">
  <si>
    <t>Employee ID</t>
  </si>
  <si>
    <t>Employee Name</t>
  </si>
  <si>
    <t>Department</t>
  </si>
  <si>
    <t>Gender</t>
  </si>
  <si>
    <t>Age</t>
  </si>
  <si>
    <t>Experience (Years)</t>
  </si>
  <si>
    <t>Salary</t>
  </si>
  <si>
    <t>Bonus</t>
  </si>
  <si>
    <t>Location</t>
  </si>
  <si>
    <t>E001</t>
  </si>
  <si>
    <t>Rahul</t>
  </si>
  <si>
    <t>IT</t>
  </si>
  <si>
    <t>Male</t>
  </si>
  <si>
    <t>Bangalore</t>
  </si>
  <si>
    <t>E002</t>
  </si>
  <si>
    <t>Priya</t>
  </si>
  <si>
    <t>HR</t>
  </si>
  <si>
    <t>Female</t>
  </si>
  <si>
    <t>Mumbai</t>
  </si>
  <si>
    <t>E003</t>
  </si>
  <si>
    <t>Karan</t>
  </si>
  <si>
    <t>Finance</t>
  </si>
  <si>
    <t>Chennai</t>
  </si>
  <si>
    <t>E004</t>
  </si>
  <si>
    <t>Neha</t>
  </si>
  <si>
    <t>E005</t>
  </si>
  <si>
    <t>Arjun</t>
  </si>
  <si>
    <t>Sales</t>
  </si>
  <si>
    <t>Delhi</t>
  </si>
  <si>
    <t>E006</t>
  </si>
  <si>
    <t>Sneha</t>
  </si>
  <si>
    <t>E007</t>
  </si>
  <si>
    <t>Vivek</t>
  </si>
  <si>
    <t>Pune</t>
  </si>
  <si>
    <t>E008</t>
  </si>
  <si>
    <t>Pooja</t>
  </si>
  <si>
    <t>E009</t>
  </si>
  <si>
    <t>Aman</t>
  </si>
  <si>
    <t>E010</t>
  </si>
  <si>
    <t>Riya</t>
  </si>
  <si>
    <t>E011</t>
  </si>
  <si>
    <t>Mohan</t>
  </si>
  <si>
    <t>E012</t>
  </si>
  <si>
    <t>Kavya</t>
  </si>
  <si>
    <t>E013</t>
  </si>
  <si>
    <t>Rohit</t>
  </si>
  <si>
    <t>E014</t>
  </si>
  <si>
    <t>Anjali</t>
  </si>
  <si>
    <t>E015</t>
  </si>
  <si>
    <t>Suresh</t>
  </si>
  <si>
    <t>E016</t>
  </si>
  <si>
    <t>Meera</t>
  </si>
  <si>
    <t>E017</t>
  </si>
  <si>
    <t>Deepak</t>
  </si>
  <si>
    <t>E018</t>
  </si>
  <si>
    <t>Nisha</t>
  </si>
  <si>
    <t>E019</t>
  </si>
  <si>
    <t>Ajay</t>
  </si>
  <si>
    <t>E020</t>
  </si>
  <si>
    <t>Shreya</t>
  </si>
  <si>
    <t>Total Employees</t>
  </si>
  <si>
    <t>Average Salary</t>
  </si>
  <si>
    <t>Highest Salary</t>
  </si>
  <si>
    <t>Lowest Salary</t>
  </si>
  <si>
    <t>Employee Salary Analysis Dashboard</t>
  </si>
  <si>
    <t>Grand Total</t>
  </si>
  <si>
    <t>Average of Salary</t>
  </si>
  <si>
    <t>Count of Employee ID</t>
  </si>
  <si>
    <t>Total Bonus</t>
  </si>
  <si>
    <t>Employee Count by Department</t>
  </si>
  <si>
    <t>Employee Count by Location</t>
  </si>
  <si>
    <t>Average Salary by Department</t>
  </si>
  <si>
    <t>Average Salary by Location</t>
  </si>
  <si>
    <t>Details for Average Salary</t>
  </si>
  <si>
    <t>Gender Distribution</t>
  </si>
  <si>
    <t>Total Bonus by Department</t>
  </si>
  <si>
    <t>Details for Count of Employee ID</t>
  </si>
  <si>
    <t>KPI</t>
  </si>
  <si>
    <t>Value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</si>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</sst>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009]\ * #,##0_ ;_ [$₹-4009]\ * \-#,##0_ ;_ [$₹-4009]\ * &quot;-&quot;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33"/>
      <color theme="1"/>
      <name val="Calibri"/>
      <family val="2"/>
      <scheme val="minor"/>
    </font>
    <font>
      <b/>
      <sz val="33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7" fillId="2" borderId="1" xfId="0" applyFont="1" applyFill="1" applyBorder="1"/>
    <xf numFmtId="0" fontId="5" fillId="2" borderId="1" xfId="0" applyFont="1" applyFill="1" applyBorder="1"/>
    <xf numFmtId="164" fontId="5" fillId="2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0" fontId="6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pivotButton="1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/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1" fillId="0" borderId="1" xfId="0" applyFont="1" applyBorder="1" applyAlignment="1">
      <alignment horizontal="left" vertical="top"/>
    </xf>
    <xf numFmtId="164" fontId="11" fillId="0" borderId="1" xfId="1" applyNumberFormat="1" applyFont="1" applyBorder="1" applyAlignment="1">
      <alignment horizontal="left" vertical="top"/>
    </xf>
    <xf numFmtId="164" fontId="11" fillId="0" borderId="1" xfId="0" applyNumberFormat="1" applyFont="1" applyBorder="1" applyAlignment="1">
      <alignment horizontal="left" vertical="top"/>
    </xf>
    <xf numFmtId="0" fontId="7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9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Employee 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Sales</c:v>
              </c:pt>
            </c:strLit>
          </c:cat>
          <c:val>
            <c:numLit>
              <c:formatCode>General</c:formatCode>
              <c:ptCount val="4"/>
              <c:pt idx="0">
                <c:v>5</c:v>
              </c:pt>
              <c:pt idx="1">
                <c:v>5</c:v>
              </c:pt>
              <c:pt idx="2">
                <c:v>6</c:v>
              </c:pt>
              <c:pt idx="3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AA05-4BDA-B2B1-56CE61491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78799"/>
        <c:axId val="39579759"/>
      </c:barChart>
      <c:catAx>
        <c:axId val="3957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9759"/>
        <c:crosses val="autoZero"/>
        <c:auto val="1"/>
        <c:lblAlgn val="ctr"/>
        <c:lblOffset val="100"/>
        <c:noMultiLvlLbl val="0"/>
      </c:catAx>
      <c:valAx>
        <c:axId val="3957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Gender Distribution</a:t>
            </a:r>
          </a:p>
        </c:rich>
      </c:tx>
      <c:layout>
        <c:manualLayout>
          <c:xMode val="edge"/>
          <c:yMode val="edge"/>
          <c:x val="0.26830589513459574"/>
          <c:y val="6.280277906438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6D-442B-8345-C7A3764D53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6D-442B-8345-C7A3764D5326}"/>
              </c:ext>
            </c:extLst>
          </c:dPt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10</c:v>
              </c:pt>
              <c:pt idx="1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2BC4-4B12-BAA8-5AC6CCC30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Sales</c:v>
              </c:pt>
            </c:strLit>
          </c:cat>
          <c:val>
            <c:numLit>
              <c:formatCode>General</c:formatCode>
              <c:ptCount val="4"/>
              <c:pt idx="0">
                <c:v>55400</c:v>
              </c:pt>
              <c:pt idx="1">
                <c:v>51600</c:v>
              </c:pt>
              <c:pt idx="2">
                <c:v>42833.333333333336</c:v>
              </c:pt>
              <c:pt idx="3">
                <c:v>46250</c:v>
              </c:pt>
            </c:numLit>
          </c:val>
          <c:extLst>
            <c:ext xmlns:c16="http://schemas.microsoft.com/office/drawing/2014/chart" uri="{C3380CC4-5D6E-409C-BE32-E72D297353CC}">
              <c16:uniqueId val="{00000000-C8CA-42C8-AA0D-9306D4C22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3837007"/>
        <c:axId val="2073834607"/>
      </c:barChart>
      <c:catAx>
        <c:axId val="207383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34607"/>
        <c:crosses val="autoZero"/>
        <c:auto val="1"/>
        <c:lblAlgn val="ctr"/>
        <c:lblOffset val="100"/>
        <c:noMultiLvlLbl val="0"/>
      </c:catAx>
      <c:valAx>
        <c:axId val="20738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3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Bonus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Sales</c:v>
              </c:pt>
            </c:strLit>
          </c:cat>
          <c:val>
            <c:numLit>
              <c:formatCode>General</c:formatCode>
              <c:ptCount val="4"/>
              <c:pt idx="0">
                <c:v>29200</c:v>
              </c:pt>
              <c:pt idx="1">
                <c:v>26700</c:v>
              </c:pt>
              <c:pt idx="2">
                <c:v>24600</c:v>
              </c:pt>
              <c:pt idx="3">
                <c:v>18500</c:v>
              </c:pt>
            </c:numLit>
          </c:val>
          <c:extLst>
            <c:ext xmlns:c16="http://schemas.microsoft.com/office/drawing/2014/chart" uri="{C3380CC4-5D6E-409C-BE32-E72D297353CC}">
              <c16:uniqueId val="{00000000-A547-452A-8EA9-7BC8A7B85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81679"/>
        <c:axId val="2073836047"/>
      </c:barChart>
      <c:catAx>
        <c:axId val="3958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36047"/>
        <c:crosses val="autoZero"/>
        <c:auto val="1"/>
        <c:lblAlgn val="ctr"/>
        <c:lblOffset val="100"/>
        <c:noMultiLvlLbl val="0"/>
      </c:catAx>
      <c:valAx>
        <c:axId val="207383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Employee Count by Location</a:t>
            </a:r>
          </a:p>
        </c:rich>
      </c:tx>
      <c:layout>
        <c:manualLayout>
          <c:xMode val="edge"/>
          <c:yMode val="edge"/>
          <c:x val="0.2673263342082239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Bangalore</c:v>
              </c:pt>
              <c:pt idx="1">
                <c:v>Chennai</c:v>
              </c:pt>
              <c:pt idx="2">
                <c:v>Delhi</c:v>
              </c:pt>
              <c:pt idx="3">
                <c:v>Mumbai</c:v>
              </c:pt>
              <c:pt idx="4">
                <c:v>Pune</c:v>
              </c:pt>
            </c:strLit>
          </c:cat>
          <c:val>
            <c:numLit>
              <c:formatCode>General</c:formatCode>
              <c:ptCount val="5"/>
              <c:pt idx="0">
                <c:v>4</c:v>
              </c:pt>
              <c:pt idx="1">
                <c:v>5</c:v>
              </c:pt>
              <c:pt idx="2">
                <c:v>4</c:v>
              </c:pt>
              <c:pt idx="3">
                <c:v>4</c:v>
              </c:pt>
              <c:pt idx="4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F074-460C-B0BA-09124E616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134735"/>
        <c:axId val="2067146735"/>
      </c:barChart>
      <c:catAx>
        <c:axId val="206713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146735"/>
        <c:crosses val="autoZero"/>
        <c:auto val="1"/>
        <c:lblAlgn val="ctr"/>
        <c:lblOffset val="100"/>
        <c:noMultiLvlLbl val="0"/>
      </c:catAx>
      <c:valAx>
        <c:axId val="20671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13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Salary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Bangalore</c:v>
              </c:pt>
              <c:pt idx="1">
                <c:v>Chennai</c:v>
              </c:pt>
              <c:pt idx="2">
                <c:v>Delhi</c:v>
              </c:pt>
              <c:pt idx="3">
                <c:v>Mumbai</c:v>
              </c:pt>
              <c:pt idx="4">
                <c:v>Pune</c:v>
              </c:pt>
            </c:strLit>
          </c:cat>
          <c:val>
            <c:numLit>
              <c:formatCode>General</c:formatCode>
              <c:ptCount val="5"/>
              <c:pt idx="0">
                <c:v>37000</c:v>
              </c:pt>
              <c:pt idx="1">
                <c:v>55400</c:v>
              </c:pt>
              <c:pt idx="2">
                <c:v>46250</c:v>
              </c:pt>
              <c:pt idx="3">
                <c:v>55500</c:v>
              </c:pt>
              <c:pt idx="4">
                <c:v>48333.333333333336</c:v>
              </c:pt>
            </c:numLit>
          </c:val>
          <c:extLst>
            <c:ext xmlns:c16="http://schemas.microsoft.com/office/drawing/2014/chart" uri="{C3380CC4-5D6E-409C-BE32-E72D297353CC}">
              <c16:uniqueId val="{00000000-3ACF-47A7-BE2D-0A808A8E7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98879"/>
        <c:axId val="26099359"/>
      </c:barChart>
      <c:catAx>
        <c:axId val="2609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99359"/>
        <c:crosses val="autoZero"/>
        <c:auto val="1"/>
        <c:lblAlgn val="ctr"/>
        <c:lblOffset val="100"/>
        <c:noMultiLvlLbl val="0"/>
      </c:catAx>
      <c:valAx>
        <c:axId val="260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9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101599</xdr:rowOff>
    </xdr:from>
    <xdr:to>
      <xdr:col>11</xdr:col>
      <xdr:colOff>643466</xdr:colOff>
      <xdr:row>33</xdr:row>
      <xdr:rowOff>135467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522A55-5F1D-4A67-92B7-5F3CC2E13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152400</xdr:colOff>
      <xdr:row>8</xdr:row>
      <xdr:rowOff>101600</xdr:rowOff>
    </xdr:from>
    <xdr:to>
      <xdr:col>40</xdr:col>
      <xdr:colOff>321735</xdr:colOff>
      <xdr:row>33</xdr:row>
      <xdr:rowOff>118533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E23E8E-0F17-E874-D06B-E5B465977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914400</xdr:colOff>
      <xdr:row>8</xdr:row>
      <xdr:rowOff>118532</xdr:rowOff>
    </xdr:from>
    <xdr:to>
      <xdr:col>24</xdr:col>
      <xdr:colOff>0</xdr:colOff>
      <xdr:row>33</xdr:row>
      <xdr:rowOff>135466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1172E4-210E-F081-D6BE-72B00D327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118534</xdr:colOff>
      <xdr:row>35</xdr:row>
      <xdr:rowOff>33866</xdr:rowOff>
    </xdr:from>
    <xdr:to>
      <xdr:col>11</xdr:col>
      <xdr:colOff>694267</xdr:colOff>
      <xdr:row>65</xdr:row>
      <xdr:rowOff>101599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3CB277-42AD-B9F5-7C02-C6F328D6E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846667</xdr:colOff>
      <xdr:row>35</xdr:row>
      <xdr:rowOff>33867</xdr:rowOff>
    </xdr:from>
    <xdr:to>
      <xdr:col>23</xdr:col>
      <xdr:colOff>592668</xdr:colOff>
      <xdr:row>65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C23352-0224-39A6-78C0-FB5E95288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186268</xdr:colOff>
      <xdr:row>35</xdr:row>
      <xdr:rowOff>50801</xdr:rowOff>
    </xdr:from>
    <xdr:to>
      <xdr:col>40</xdr:col>
      <xdr:colOff>338668</xdr:colOff>
      <xdr:row>65</xdr:row>
      <xdr:rowOff>101599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4E23E0-A7E4-EBF5-D72B-7191F03D4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ha pinto" refreshedDate="46185.701906712966" createdVersion="8" refreshedVersion="8" minRefreshableVersion="3" recordCount="20" xr:uid="{4BB56DF3-859D-4B8E-8E7C-AAD86287EC16}">
  <cacheSource type="worksheet">
    <worksheetSource ref="A2:I22" sheet="Employee_Data"/>
  </cacheSource>
  <cacheFields count="9">
    <cacheField name="Employee ID" numFmtId="0">
      <sharedItems/>
    </cacheField>
    <cacheField name="Employee Name" numFmtId="0">
      <sharedItems/>
    </cacheField>
    <cacheField name="Department" numFmtId="0">
      <sharedItems count="4">
        <s v="IT"/>
        <s v="HR"/>
        <s v="Finance"/>
        <s v="Sales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4" maxValue="36"/>
    </cacheField>
    <cacheField name="Experience (Years)" numFmtId="0">
      <sharedItems containsSemiMixedTypes="0" containsString="0" containsNumber="1" containsInteger="1" minValue="1" maxValue="11"/>
    </cacheField>
    <cacheField name="Salary" numFmtId="164">
      <sharedItems containsSemiMixedTypes="0" containsString="0" containsNumber="1" containsInteger="1" minValue="32000" maxValue="75000"/>
    </cacheField>
    <cacheField name="Bonus" numFmtId="164">
      <sharedItems containsSemiMixedTypes="0" containsString="0" containsNumber="1" containsInteger="1" minValue="2500" maxValue="9000"/>
    </cacheField>
    <cacheField name="Location" numFmtId="0">
      <sharedItems count="5">
        <s v="Bangalore"/>
        <s v="Mumbai"/>
        <s v="Chennai"/>
        <s v="Delhi"/>
        <s v="P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01"/>
    <s v="Rahul"/>
    <x v="0"/>
    <x v="0"/>
    <n v="25"/>
    <n v="2"/>
    <n v="35000"/>
    <n v="3000"/>
    <x v="0"/>
  </r>
  <r>
    <s v="E002"/>
    <s v="Priya"/>
    <x v="1"/>
    <x v="1"/>
    <n v="28"/>
    <n v="4"/>
    <n v="42000"/>
    <n v="4000"/>
    <x v="1"/>
  </r>
  <r>
    <s v="E003"/>
    <s v="Karan"/>
    <x v="2"/>
    <x v="0"/>
    <n v="32"/>
    <n v="7"/>
    <n v="55000"/>
    <n v="6000"/>
    <x v="2"/>
  </r>
  <r>
    <s v="E004"/>
    <s v="Neha"/>
    <x v="0"/>
    <x v="1"/>
    <n v="26"/>
    <n v="3"/>
    <n v="38000"/>
    <n v="3500"/>
    <x v="0"/>
  </r>
  <r>
    <s v="E005"/>
    <s v="Arjun"/>
    <x v="3"/>
    <x v="0"/>
    <n v="30"/>
    <n v="5"/>
    <n v="48000"/>
    <n v="5000"/>
    <x v="3"/>
  </r>
  <r>
    <s v="E006"/>
    <s v="Sneha"/>
    <x v="1"/>
    <x v="1"/>
    <n v="29"/>
    <n v="5"/>
    <n v="45000"/>
    <n v="4200"/>
    <x v="1"/>
  </r>
  <r>
    <s v="E007"/>
    <s v="Vivek"/>
    <x v="0"/>
    <x v="0"/>
    <n v="35"/>
    <n v="10"/>
    <n v="70000"/>
    <n v="8000"/>
    <x v="4"/>
  </r>
  <r>
    <s v="E008"/>
    <s v="Pooja"/>
    <x v="2"/>
    <x v="1"/>
    <n v="31"/>
    <n v="6"/>
    <n v="53000"/>
    <n v="5500"/>
    <x v="2"/>
  </r>
  <r>
    <s v="E009"/>
    <s v="Aman"/>
    <x v="3"/>
    <x v="0"/>
    <n v="27"/>
    <n v="3"/>
    <n v="40000"/>
    <n v="3500"/>
    <x v="3"/>
  </r>
  <r>
    <s v="E010"/>
    <s v="Riya"/>
    <x v="0"/>
    <x v="1"/>
    <n v="24"/>
    <n v="1"/>
    <n v="32000"/>
    <n v="2500"/>
    <x v="0"/>
  </r>
  <r>
    <s v="E011"/>
    <s v="Mohan"/>
    <x v="1"/>
    <x v="0"/>
    <n v="33"/>
    <n v="8"/>
    <n v="60000"/>
    <n v="6500"/>
    <x v="1"/>
  </r>
  <r>
    <s v="E012"/>
    <s v="Kavya"/>
    <x v="2"/>
    <x v="1"/>
    <n v="30"/>
    <n v="5"/>
    <n v="50000"/>
    <n v="5000"/>
    <x v="2"/>
  </r>
  <r>
    <s v="E013"/>
    <s v="Rohit"/>
    <x v="3"/>
    <x v="0"/>
    <n v="29"/>
    <n v="4"/>
    <n v="45000"/>
    <n v="4500"/>
    <x v="3"/>
  </r>
  <r>
    <s v="E014"/>
    <s v="Anjali"/>
    <x v="0"/>
    <x v="1"/>
    <n v="27"/>
    <n v="3"/>
    <n v="39000"/>
    <n v="3600"/>
    <x v="4"/>
  </r>
  <r>
    <s v="E015"/>
    <s v="Suresh"/>
    <x v="1"/>
    <x v="0"/>
    <n v="36"/>
    <n v="11"/>
    <n v="75000"/>
    <n v="9000"/>
    <x v="1"/>
  </r>
  <r>
    <s v="E016"/>
    <s v="Meera"/>
    <x v="2"/>
    <x v="1"/>
    <n v="34"/>
    <n v="9"/>
    <n v="68000"/>
    <n v="7500"/>
    <x v="2"/>
  </r>
  <r>
    <s v="E017"/>
    <s v="Deepak"/>
    <x v="3"/>
    <x v="0"/>
    <n v="31"/>
    <n v="6"/>
    <n v="52000"/>
    <n v="5500"/>
    <x v="3"/>
  </r>
  <r>
    <s v="E018"/>
    <s v="Nisha"/>
    <x v="0"/>
    <x v="1"/>
    <n v="28"/>
    <n v="4"/>
    <n v="43000"/>
    <n v="4000"/>
    <x v="0"/>
  </r>
  <r>
    <s v="E019"/>
    <s v="Ajay"/>
    <x v="1"/>
    <x v="0"/>
    <n v="26"/>
    <n v="2"/>
    <n v="36000"/>
    <n v="3000"/>
    <x v="4"/>
  </r>
  <r>
    <s v="E020"/>
    <s v="Shreya"/>
    <x v="2"/>
    <x v="1"/>
    <n v="29"/>
    <n v="5"/>
    <n v="51000"/>
    <n v="52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9B0AB-55B0-42C4-A814-38F3D4D83D8E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P28:Q33" firstHeaderRow="1" firstDataRow="1" firstDataCol="1"/>
  <pivotFields count="9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164" showAll="0"/>
    <pivotField dataField="1" numFmtId="164" showAll="0"/>
    <pivotField showAll="0">
      <items count="6">
        <item x="0"/>
        <item x="2"/>
        <item x="3"/>
        <item x="1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Bonus" fld="7" baseField="2" baseItem="0" numFmtId="164"/>
  </dataFields>
  <formats count="5"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3" type="button" dataOnly="0" labelOnly="1" outline="0"/>
    </format>
    <format dxfId="174">
      <pivotArea dataOnly="0" labelOnly="1" grandRow="1" outline="0" fieldPosition="0"/>
    </format>
    <format dxfId="1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9D3EE-B5EC-410C-9EC2-92C37ECABBEE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G38:H41" firstHeaderRow="1" firstDataRow="1" firstDataCol="1"/>
  <pivotFields count="9"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164" showAll="0"/>
    <pivotField numFmtId="164" showAll="0"/>
    <pivotField showAll="0">
      <items count="6">
        <item x="0"/>
        <item x="2"/>
        <item x="3"/>
        <item x="1"/>
        <item x="4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formats count="12">
    <format dxfId="96">
      <pivotArea type="all" dataOnly="0" outline="0" fieldPosition="0"/>
    </format>
    <format dxfId="97">
      <pivotArea outline="0" collapsedLevelsAreSubtotals="1" fieldPosition="0"/>
    </format>
    <format dxfId="98">
      <pivotArea field="3" type="button" dataOnly="0" labelOnly="1" outline="0" axis="axisRow" fieldPosition="0"/>
    </format>
    <format dxfId="99">
      <pivotArea dataOnly="0" labelOnly="1" fieldPosition="0">
        <references count="1">
          <reference field="3" count="0"/>
        </references>
      </pivotArea>
    </format>
    <format dxfId="100">
      <pivotArea dataOnly="0" labelOnly="1" grandRow="1" outline="0" fieldPosition="0"/>
    </format>
    <format dxfId="101">
      <pivotArea dataOnly="0" labelOnly="1" outline="0" axis="axisValues" fieldPosition="0"/>
    </format>
    <format dxfId="102">
      <pivotArea type="all" dataOnly="0" outline="0" fieldPosition="0"/>
    </format>
    <format dxfId="103">
      <pivotArea outline="0" collapsedLevelsAreSubtotals="1" fieldPosition="0"/>
    </format>
    <format dxfId="104">
      <pivotArea field="3" type="button" dataOnly="0" labelOnly="1" outline="0" axis="axisRow" fieldPosition="0"/>
    </format>
    <format dxfId="105">
      <pivotArea dataOnly="0" labelOnly="1" fieldPosition="0">
        <references count="1">
          <reference field="3" count="0"/>
        </references>
      </pivotArea>
    </format>
    <format dxfId="106">
      <pivotArea dataOnly="0" labelOnly="1" grandRow="1" outline="0" fieldPosition="0"/>
    </format>
    <format dxfId="10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EB025-DD3C-4D2C-A488-CE1082A2EFF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D38:E44" firstHeaderRow="1" firstDataRow="1" firstDataCol="1"/>
  <pivotFields count="9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numFmtId="164" showAll="0"/>
    <pivotField numFmtId="164" showAll="0"/>
    <pivotField axis="axisRow" showAll="0">
      <items count="6">
        <item x="0"/>
        <item x="2"/>
        <item x="3"/>
        <item x="1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6" subtotal="average" baseField="8" baseItem="0" numFmtId="164"/>
  </dataFields>
  <formats count="12"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8" type="button" dataOnly="0" labelOnly="1" outline="0" axis="axisRow" fieldPosition="0"/>
    </format>
    <format dxfId="180">
      <pivotArea dataOnly="0" labelOnly="1" fieldPosition="0">
        <references count="1">
          <reference field="8" count="0"/>
        </references>
      </pivotArea>
    </format>
    <format dxfId="179">
      <pivotArea dataOnly="0" labelOnly="1" grandRow="1" outline="0" fieldPosition="0"/>
    </format>
    <format dxfId="178">
      <pivotArea dataOnly="0" labelOnly="1" outline="0" axis="axisValues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8" type="button" dataOnly="0" labelOnly="1" outline="0" axis="axisRow" fieldPosition="0"/>
    </format>
    <format dxfId="124">
      <pivotArea dataOnly="0" labelOnly="1" fieldPosition="0">
        <references count="1">
          <reference field="8" count="0"/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FCFE2-A369-4C78-A570-52EF858A71A4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8:B43" firstHeaderRow="1" firstDataRow="1" firstDataCol="1"/>
  <pivotFields count="9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numFmtId="164" showAll="0"/>
    <pivotField numFmtId="164" showAll="0"/>
    <pivotField showAll="0">
      <items count="6">
        <item x="0"/>
        <item x="2"/>
        <item x="3"/>
        <item x="1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6" subtotal="average" baseField="8" baseItem="0" numFmtId="164"/>
  </dataFields>
  <formats count="12">
    <format dxfId="140">
      <pivotArea type="all" dataOnly="0" outline="0" fieldPosition="0"/>
    </format>
    <format dxfId="141">
      <pivotArea outline="0" collapsedLevelsAreSubtotals="1" fieldPosition="0"/>
    </format>
    <format dxfId="142">
      <pivotArea field="2" type="button" dataOnly="0" labelOnly="1" outline="0" axis="axisRow" fieldPosition="0"/>
    </format>
    <format dxfId="143">
      <pivotArea dataOnly="0" labelOnly="1" fieldPosition="0">
        <references count="1">
          <reference field="2" count="0"/>
        </references>
      </pivotArea>
    </format>
    <format dxfId="144">
      <pivotArea dataOnly="0" labelOnly="1" grandRow="1" outline="0" fieldPosition="0"/>
    </format>
    <format dxfId="145">
      <pivotArea dataOnly="0" labelOnly="1" outline="0" axis="axisValues" fieldPosition="0"/>
    </format>
    <format dxfId="146">
      <pivotArea type="all" dataOnly="0" outline="0" fieldPosition="0"/>
    </format>
    <format dxfId="147">
      <pivotArea outline="0" collapsedLevelsAreSubtotals="1" fieldPosition="0"/>
    </format>
    <format dxfId="148">
      <pivotArea field="2" type="button" dataOnly="0" labelOnly="1" outline="0" axis="axisRow" fieldPosition="0"/>
    </format>
    <format dxfId="149">
      <pivotArea dataOnly="0" labelOnly="1" fieldPosition="0">
        <references count="1">
          <reference field="2" count="0"/>
        </references>
      </pivotArea>
    </format>
    <format dxfId="150">
      <pivotArea dataOnly="0" labelOnly="1" grandRow="1" outline="0" fieldPosition="0"/>
    </format>
    <format dxfId="1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73826-EED8-40D7-AFC8-C4F86EFC0FDC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G27:H33" firstHeaderRow="1" firstDataRow="1" firstDataCol="1"/>
  <pivotFields count="9"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numFmtId="164" showAll="0"/>
    <pivotField numFmtId="164" showAll="0"/>
    <pivotField axis="axisRow" showAll="0">
      <items count="6">
        <item x="0"/>
        <item x="2"/>
        <item x="3"/>
        <item x="1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formats count="12">
    <format dxfId="167">
      <pivotArea type="all" dataOnly="0" outline="0" fieldPosition="0"/>
    </format>
    <format dxfId="168">
      <pivotArea outline="0" collapsedLevelsAreSubtotals="1" fieldPosition="0"/>
    </format>
    <format dxfId="169">
      <pivotArea field="8" type="button" dataOnly="0" labelOnly="1" outline="0" axis="axisRow" fieldPosition="0"/>
    </format>
    <format dxfId="170">
      <pivotArea dataOnly="0" labelOnly="1" fieldPosition="0">
        <references count="1">
          <reference field="8" count="0"/>
        </references>
      </pivotArea>
    </format>
    <format dxfId="171">
      <pivotArea dataOnly="0" labelOnly="1" grandRow="1" outline="0" fieldPosition="0"/>
    </format>
    <format dxfId="172">
      <pivotArea dataOnly="0" labelOnly="1" outline="0" axis="axisValues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8" type="button" dataOnly="0" labelOnly="1" outline="0" axis="axisRow" fieldPosition="0"/>
    </format>
    <format dxfId="156">
      <pivotArea dataOnly="0" labelOnly="1" fieldPosition="0">
        <references count="1">
          <reference field="8" count="0"/>
        </references>
      </pivotArea>
    </format>
    <format dxfId="155">
      <pivotArea dataOnly="0" labelOnly="1" grandRow="1" outline="0" fieldPosition="0"/>
    </format>
    <format dxfId="1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BBCD3-495B-48A4-85AC-F4E6744DA59C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D27:E32" firstHeaderRow="1" firstDataRow="1" firstDataCol="1"/>
  <pivotFields count="9"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numFmtId="164" showAll="0"/>
    <pivotField numFmtId="16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formats count="12"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2" type="button" dataOnly="0" labelOnly="1" outline="0" axis="axisRow" fieldPosition="0"/>
    </format>
    <format dxfId="186">
      <pivotArea dataOnly="0" labelOnly="1" fieldPosition="0">
        <references count="1">
          <reference field="2" count="0"/>
        </references>
      </pivotArea>
    </format>
    <format dxfId="185">
      <pivotArea dataOnly="0" labelOnly="1" grandRow="1" outline="0" fieldPosition="0"/>
    </format>
    <format dxfId="184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2" type="button" dataOnly="0" labelOnly="1" outline="0" axis="axisRow" fieldPosition="0"/>
    </format>
    <format dxfId="163">
      <pivotArea dataOnly="0" labelOnly="1" fieldPosition="0">
        <references count="1">
          <reference field="2" count="0"/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4F7CE9-B308-45A3-9AF4-4C0BF9634AE4}" name="Table4" displayName="Table4" ref="A3:I23" totalsRowShown="0">
  <autoFilter ref="A3:I23" xr:uid="{3B4F7CE9-B308-45A3-9AF4-4C0BF9634AE4}"/>
  <tableColumns count="9">
    <tableColumn id="1" xr3:uid="{17ED97C0-9A44-48FD-A9DE-BC0E14C173F1}" name="Employee ID"/>
    <tableColumn id="2" xr3:uid="{F8ABBAC3-1365-4EB6-89DF-3A9DB26B3CE6}" name="Employee Name"/>
    <tableColumn id="3" xr3:uid="{999492BB-FE98-4FE9-A0D3-8908029DD26A}" name="Department"/>
    <tableColumn id="4" xr3:uid="{D16E146B-8552-4794-B5F2-C254F631E3CB}" name="Gender"/>
    <tableColumn id="5" xr3:uid="{82E6E10C-308E-4261-BD43-4FE5D63EE434}" name="Age"/>
    <tableColumn id="6" xr3:uid="{3824B2D2-7691-4AF8-8343-69AA460D1D05}" name="Experience (Years)"/>
    <tableColumn id="7" xr3:uid="{60ECFEC4-2896-481A-B768-5683CB6F976C}" name="Salary"/>
    <tableColumn id="8" xr3:uid="{29681010-66B9-4274-8F41-C5CA76F45FE6}" name="Bonus"/>
    <tableColumn id="9" xr3:uid="{ECB6A051-752B-4CFF-8A4B-C42C94CBCEFD}" name="Lo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5EA43D-E818-47F5-89A4-E4FA0322EE58}" name="Table5" displayName="Table5" ref="A3:I23" totalsRowShown="0">
  <autoFilter ref="A3:I23" xr:uid="{335EA43D-E818-47F5-89A4-E4FA0322EE58}"/>
  <tableColumns count="9">
    <tableColumn id="1" xr3:uid="{320070D6-9252-425F-8825-B237235E690D}" name="Employee ID"/>
    <tableColumn id="2" xr3:uid="{582E00A8-04CD-457D-BDBE-609FDEC382DC}" name="Employee Name"/>
    <tableColumn id="3" xr3:uid="{78BBE709-1B44-4DE6-8EDE-A8CFFD817DD6}" name="Department"/>
    <tableColumn id="4" xr3:uid="{5AE1A507-1174-48AF-944B-6FE65DC5D091}" name="Gender"/>
    <tableColumn id="5" xr3:uid="{3E2E955B-2635-4769-A90E-3BE355609C06}" name="Age"/>
    <tableColumn id="6" xr3:uid="{8B33C908-E9C3-4193-A115-04D7ADC060CE}" name="Experience (Years)"/>
    <tableColumn id="7" xr3:uid="{271C82DE-0934-48EB-81C3-2D31E220F279}" name="Salary"/>
    <tableColumn id="8" xr3:uid="{D6911BBB-2DEC-45D7-AA6C-3C4173509A15}" name="Bonus"/>
    <tableColumn id="9" xr3:uid="{A0F3A788-EE6C-4587-8D2B-94B0B350C022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FCCB-65B8-42DA-89A5-C40281A419AD}">
  <dimension ref="A1:I23"/>
  <sheetViews>
    <sheetView workbookViewId="0">
      <selection activeCell="L13" sqref="L13"/>
    </sheetView>
  </sheetViews>
  <sheetFormatPr defaultRowHeight="14.4" x14ac:dyDescent="0.3"/>
  <cols>
    <col min="1" max="1" width="13.77734375" bestFit="1" customWidth="1"/>
    <col min="2" max="2" width="17.109375" bestFit="1" customWidth="1"/>
    <col min="3" max="3" width="13.33203125" bestFit="1" customWidth="1"/>
    <col min="4" max="4" width="9.33203125" bestFit="1" customWidth="1"/>
    <col min="5" max="5" width="9" bestFit="1" customWidth="1"/>
    <col min="6" max="6" width="18.6640625" bestFit="1" customWidth="1"/>
    <col min="7" max="8" width="9" bestFit="1" customWidth="1"/>
    <col min="9" max="9" width="10.44140625" bestFit="1" customWidth="1"/>
  </cols>
  <sheetData>
    <row r="1" spans="1:9" x14ac:dyDescent="0.3">
      <c r="A1" s="1" t="s">
        <v>73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25</v>
      </c>
      <c r="F4">
        <v>2</v>
      </c>
      <c r="G4">
        <v>35000</v>
      </c>
      <c r="H4">
        <v>3000</v>
      </c>
      <c r="I4" t="s">
        <v>13</v>
      </c>
    </row>
    <row r="5" spans="1:9" x14ac:dyDescent="0.3">
      <c r="A5" t="s">
        <v>23</v>
      </c>
      <c r="B5" t="s">
        <v>24</v>
      </c>
      <c r="C5" t="s">
        <v>11</v>
      </c>
      <c r="D5" t="s">
        <v>17</v>
      </c>
      <c r="E5">
        <v>26</v>
      </c>
      <c r="F5">
        <v>3</v>
      </c>
      <c r="G5">
        <v>38000</v>
      </c>
      <c r="H5">
        <v>3500</v>
      </c>
      <c r="I5" t="s">
        <v>13</v>
      </c>
    </row>
    <row r="6" spans="1:9" x14ac:dyDescent="0.3">
      <c r="A6" t="s">
        <v>38</v>
      </c>
      <c r="B6" t="s">
        <v>39</v>
      </c>
      <c r="C6" t="s">
        <v>11</v>
      </c>
      <c r="D6" t="s">
        <v>17</v>
      </c>
      <c r="E6">
        <v>24</v>
      </c>
      <c r="F6">
        <v>1</v>
      </c>
      <c r="G6">
        <v>32000</v>
      </c>
      <c r="H6">
        <v>2500</v>
      </c>
      <c r="I6" t="s">
        <v>13</v>
      </c>
    </row>
    <row r="7" spans="1:9" x14ac:dyDescent="0.3">
      <c r="A7" t="s">
        <v>54</v>
      </c>
      <c r="B7" t="s">
        <v>55</v>
      </c>
      <c r="C7" t="s">
        <v>11</v>
      </c>
      <c r="D7" t="s">
        <v>17</v>
      </c>
      <c r="E7">
        <v>28</v>
      </c>
      <c r="F7">
        <v>4</v>
      </c>
      <c r="G7">
        <v>43000</v>
      </c>
      <c r="H7">
        <v>4000</v>
      </c>
      <c r="I7" t="s">
        <v>13</v>
      </c>
    </row>
    <row r="8" spans="1:9" x14ac:dyDescent="0.3">
      <c r="A8" t="s">
        <v>19</v>
      </c>
      <c r="B8" t="s">
        <v>20</v>
      </c>
      <c r="C8" t="s">
        <v>21</v>
      </c>
      <c r="D8" t="s">
        <v>12</v>
      </c>
      <c r="E8">
        <v>32</v>
      </c>
      <c r="F8">
        <v>7</v>
      </c>
      <c r="G8">
        <v>55000</v>
      </c>
      <c r="H8">
        <v>6000</v>
      </c>
      <c r="I8" t="s">
        <v>22</v>
      </c>
    </row>
    <row r="9" spans="1:9" x14ac:dyDescent="0.3">
      <c r="A9" t="s">
        <v>34</v>
      </c>
      <c r="B9" t="s">
        <v>35</v>
      </c>
      <c r="C9" t="s">
        <v>21</v>
      </c>
      <c r="D9" t="s">
        <v>17</v>
      </c>
      <c r="E9">
        <v>31</v>
      </c>
      <c r="F9">
        <v>6</v>
      </c>
      <c r="G9">
        <v>53000</v>
      </c>
      <c r="H9">
        <v>5500</v>
      </c>
      <c r="I9" t="s">
        <v>22</v>
      </c>
    </row>
    <row r="10" spans="1:9" x14ac:dyDescent="0.3">
      <c r="A10" t="s">
        <v>42</v>
      </c>
      <c r="B10" t="s">
        <v>43</v>
      </c>
      <c r="C10" t="s">
        <v>21</v>
      </c>
      <c r="D10" t="s">
        <v>17</v>
      </c>
      <c r="E10">
        <v>30</v>
      </c>
      <c r="F10">
        <v>5</v>
      </c>
      <c r="G10">
        <v>50000</v>
      </c>
      <c r="H10">
        <v>5000</v>
      </c>
      <c r="I10" t="s">
        <v>22</v>
      </c>
    </row>
    <row r="11" spans="1:9" x14ac:dyDescent="0.3">
      <c r="A11" t="s">
        <v>50</v>
      </c>
      <c r="B11" t="s">
        <v>51</v>
      </c>
      <c r="C11" t="s">
        <v>21</v>
      </c>
      <c r="D11" t="s">
        <v>17</v>
      </c>
      <c r="E11">
        <v>34</v>
      </c>
      <c r="F11">
        <v>9</v>
      </c>
      <c r="G11">
        <v>68000</v>
      </c>
      <c r="H11">
        <v>7500</v>
      </c>
      <c r="I11" t="s">
        <v>22</v>
      </c>
    </row>
    <row r="12" spans="1:9" x14ac:dyDescent="0.3">
      <c r="A12" t="s">
        <v>58</v>
      </c>
      <c r="B12" t="s">
        <v>59</v>
      </c>
      <c r="C12" t="s">
        <v>21</v>
      </c>
      <c r="D12" t="s">
        <v>17</v>
      </c>
      <c r="E12">
        <v>29</v>
      </c>
      <c r="F12">
        <v>5</v>
      </c>
      <c r="G12">
        <v>51000</v>
      </c>
      <c r="H12">
        <v>5200</v>
      </c>
      <c r="I12" t="s">
        <v>22</v>
      </c>
    </row>
    <row r="13" spans="1:9" x14ac:dyDescent="0.3">
      <c r="A13" t="s">
        <v>25</v>
      </c>
      <c r="B13" t="s">
        <v>26</v>
      </c>
      <c r="C13" t="s">
        <v>27</v>
      </c>
      <c r="D13" t="s">
        <v>12</v>
      </c>
      <c r="E13">
        <v>30</v>
      </c>
      <c r="F13">
        <v>5</v>
      </c>
      <c r="G13">
        <v>48000</v>
      </c>
      <c r="H13">
        <v>5000</v>
      </c>
      <c r="I13" t="s">
        <v>28</v>
      </c>
    </row>
    <row r="14" spans="1:9" x14ac:dyDescent="0.3">
      <c r="A14" t="s">
        <v>36</v>
      </c>
      <c r="B14" t="s">
        <v>37</v>
      </c>
      <c r="C14" t="s">
        <v>27</v>
      </c>
      <c r="D14" t="s">
        <v>12</v>
      </c>
      <c r="E14">
        <v>27</v>
      </c>
      <c r="F14">
        <v>3</v>
      </c>
      <c r="G14">
        <v>40000</v>
      </c>
      <c r="H14">
        <v>3500</v>
      </c>
      <c r="I14" t="s">
        <v>28</v>
      </c>
    </row>
    <row r="15" spans="1:9" x14ac:dyDescent="0.3">
      <c r="A15" t="s">
        <v>44</v>
      </c>
      <c r="B15" t="s">
        <v>45</v>
      </c>
      <c r="C15" t="s">
        <v>27</v>
      </c>
      <c r="D15" t="s">
        <v>12</v>
      </c>
      <c r="E15">
        <v>29</v>
      </c>
      <c r="F15">
        <v>4</v>
      </c>
      <c r="G15">
        <v>45000</v>
      </c>
      <c r="H15">
        <v>4500</v>
      </c>
      <c r="I15" t="s">
        <v>28</v>
      </c>
    </row>
    <row r="16" spans="1:9" x14ac:dyDescent="0.3">
      <c r="A16" t="s">
        <v>52</v>
      </c>
      <c r="B16" t="s">
        <v>53</v>
      </c>
      <c r="C16" t="s">
        <v>27</v>
      </c>
      <c r="D16" t="s">
        <v>12</v>
      </c>
      <c r="E16">
        <v>31</v>
      </c>
      <c r="F16">
        <v>6</v>
      </c>
      <c r="G16">
        <v>52000</v>
      </c>
      <c r="H16">
        <v>5500</v>
      </c>
      <c r="I16" t="s">
        <v>28</v>
      </c>
    </row>
    <row r="17" spans="1:9" x14ac:dyDescent="0.3">
      <c r="A17" t="s">
        <v>14</v>
      </c>
      <c r="B17" t="s">
        <v>15</v>
      </c>
      <c r="C17" t="s">
        <v>16</v>
      </c>
      <c r="D17" t="s">
        <v>17</v>
      </c>
      <c r="E17">
        <v>28</v>
      </c>
      <c r="F17">
        <v>4</v>
      </c>
      <c r="G17">
        <v>42000</v>
      </c>
      <c r="H17">
        <v>4000</v>
      </c>
      <c r="I17" t="s">
        <v>18</v>
      </c>
    </row>
    <row r="18" spans="1:9" x14ac:dyDescent="0.3">
      <c r="A18" t="s">
        <v>29</v>
      </c>
      <c r="B18" t="s">
        <v>30</v>
      </c>
      <c r="C18" t="s">
        <v>16</v>
      </c>
      <c r="D18" t="s">
        <v>17</v>
      </c>
      <c r="E18">
        <v>29</v>
      </c>
      <c r="F18">
        <v>5</v>
      </c>
      <c r="G18">
        <v>45000</v>
      </c>
      <c r="H18">
        <v>4200</v>
      </c>
      <c r="I18" t="s">
        <v>18</v>
      </c>
    </row>
    <row r="19" spans="1:9" x14ac:dyDescent="0.3">
      <c r="A19" t="s">
        <v>40</v>
      </c>
      <c r="B19" t="s">
        <v>41</v>
      </c>
      <c r="C19" t="s">
        <v>16</v>
      </c>
      <c r="D19" t="s">
        <v>12</v>
      </c>
      <c r="E19">
        <v>33</v>
      </c>
      <c r="F19">
        <v>8</v>
      </c>
      <c r="G19">
        <v>60000</v>
      </c>
      <c r="H19">
        <v>6500</v>
      </c>
      <c r="I19" t="s">
        <v>18</v>
      </c>
    </row>
    <row r="20" spans="1:9" x14ac:dyDescent="0.3">
      <c r="A20" t="s">
        <v>48</v>
      </c>
      <c r="B20" t="s">
        <v>49</v>
      </c>
      <c r="C20" t="s">
        <v>16</v>
      </c>
      <c r="D20" t="s">
        <v>12</v>
      </c>
      <c r="E20">
        <v>36</v>
      </c>
      <c r="F20">
        <v>11</v>
      </c>
      <c r="G20">
        <v>75000</v>
      </c>
      <c r="H20">
        <v>9000</v>
      </c>
      <c r="I20" t="s">
        <v>18</v>
      </c>
    </row>
    <row r="21" spans="1:9" x14ac:dyDescent="0.3">
      <c r="A21" t="s">
        <v>31</v>
      </c>
      <c r="B21" t="s">
        <v>32</v>
      </c>
      <c r="C21" t="s">
        <v>11</v>
      </c>
      <c r="D21" t="s">
        <v>12</v>
      </c>
      <c r="E21">
        <v>35</v>
      </c>
      <c r="F21">
        <v>10</v>
      </c>
      <c r="G21">
        <v>70000</v>
      </c>
      <c r="H21">
        <v>8000</v>
      </c>
      <c r="I21" t="s">
        <v>33</v>
      </c>
    </row>
    <row r="22" spans="1:9" x14ac:dyDescent="0.3">
      <c r="A22" t="s">
        <v>46</v>
      </c>
      <c r="B22" t="s">
        <v>47</v>
      </c>
      <c r="C22" t="s">
        <v>11</v>
      </c>
      <c r="D22" t="s">
        <v>17</v>
      </c>
      <c r="E22">
        <v>27</v>
      </c>
      <c r="F22">
        <v>3</v>
      </c>
      <c r="G22">
        <v>39000</v>
      </c>
      <c r="H22">
        <v>3600</v>
      </c>
      <c r="I22" t="s">
        <v>33</v>
      </c>
    </row>
    <row r="23" spans="1:9" x14ac:dyDescent="0.3">
      <c r="A23" t="s">
        <v>56</v>
      </c>
      <c r="B23" t="s">
        <v>57</v>
      </c>
      <c r="C23" t="s">
        <v>16</v>
      </c>
      <c r="D23" t="s">
        <v>12</v>
      </c>
      <c r="E23">
        <v>26</v>
      </c>
      <c r="F23">
        <v>2</v>
      </c>
      <c r="G23">
        <v>36000</v>
      </c>
      <c r="H23">
        <v>3000</v>
      </c>
      <c r="I23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3CF2-A54A-4CD9-976F-9F19D50F990E}">
  <dimension ref="A1:I23"/>
  <sheetViews>
    <sheetView workbookViewId="0">
      <selection activeCell="K24" sqref="K24"/>
    </sheetView>
  </sheetViews>
  <sheetFormatPr defaultRowHeight="14.4" x14ac:dyDescent="0.3"/>
  <cols>
    <col min="1" max="1" width="13.77734375" bestFit="1" customWidth="1"/>
    <col min="2" max="2" width="17.109375" bestFit="1" customWidth="1"/>
    <col min="3" max="3" width="13.33203125" bestFit="1" customWidth="1"/>
    <col min="4" max="4" width="9.33203125" bestFit="1" customWidth="1"/>
    <col min="5" max="5" width="9" bestFit="1" customWidth="1"/>
    <col min="6" max="6" width="18.6640625" bestFit="1" customWidth="1"/>
    <col min="7" max="8" width="9" bestFit="1" customWidth="1"/>
    <col min="9" max="9" width="10.44140625" bestFit="1" customWidth="1"/>
  </cols>
  <sheetData>
    <row r="1" spans="1:9" x14ac:dyDescent="0.3">
      <c r="A1" s="1" t="s">
        <v>76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 t="s">
        <v>19</v>
      </c>
      <c r="B4" t="s">
        <v>20</v>
      </c>
      <c r="C4" t="s">
        <v>21</v>
      </c>
      <c r="D4" t="s">
        <v>12</v>
      </c>
      <c r="E4">
        <v>32</v>
      </c>
      <c r="F4">
        <v>7</v>
      </c>
      <c r="G4">
        <v>55000</v>
      </c>
      <c r="H4">
        <v>6000</v>
      </c>
      <c r="I4" t="s">
        <v>22</v>
      </c>
    </row>
    <row r="5" spans="1:9" x14ac:dyDescent="0.3">
      <c r="A5" t="s">
        <v>34</v>
      </c>
      <c r="B5" t="s">
        <v>35</v>
      </c>
      <c r="C5" t="s">
        <v>21</v>
      </c>
      <c r="D5" t="s">
        <v>17</v>
      </c>
      <c r="E5">
        <v>31</v>
      </c>
      <c r="F5">
        <v>6</v>
      </c>
      <c r="G5">
        <v>53000</v>
      </c>
      <c r="H5">
        <v>5500</v>
      </c>
      <c r="I5" t="s">
        <v>22</v>
      </c>
    </row>
    <row r="6" spans="1:9" x14ac:dyDescent="0.3">
      <c r="A6" t="s">
        <v>42</v>
      </c>
      <c r="B6" t="s">
        <v>43</v>
      </c>
      <c r="C6" t="s">
        <v>21</v>
      </c>
      <c r="D6" t="s">
        <v>17</v>
      </c>
      <c r="E6">
        <v>30</v>
      </c>
      <c r="F6">
        <v>5</v>
      </c>
      <c r="G6">
        <v>50000</v>
      </c>
      <c r="H6">
        <v>5000</v>
      </c>
      <c r="I6" t="s">
        <v>22</v>
      </c>
    </row>
    <row r="7" spans="1:9" x14ac:dyDescent="0.3">
      <c r="A7" t="s">
        <v>50</v>
      </c>
      <c r="B7" t="s">
        <v>51</v>
      </c>
      <c r="C7" t="s">
        <v>21</v>
      </c>
      <c r="D7" t="s">
        <v>17</v>
      </c>
      <c r="E7">
        <v>34</v>
      </c>
      <c r="F7">
        <v>9</v>
      </c>
      <c r="G7">
        <v>68000</v>
      </c>
      <c r="H7">
        <v>7500</v>
      </c>
      <c r="I7" t="s">
        <v>22</v>
      </c>
    </row>
    <row r="8" spans="1:9" x14ac:dyDescent="0.3">
      <c r="A8" t="s">
        <v>58</v>
      </c>
      <c r="B8" t="s">
        <v>59</v>
      </c>
      <c r="C8" t="s">
        <v>21</v>
      </c>
      <c r="D8" t="s">
        <v>17</v>
      </c>
      <c r="E8">
        <v>29</v>
      </c>
      <c r="F8">
        <v>5</v>
      </c>
      <c r="G8">
        <v>51000</v>
      </c>
      <c r="H8">
        <v>5200</v>
      </c>
      <c r="I8" t="s">
        <v>22</v>
      </c>
    </row>
    <row r="9" spans="1:9" x14ac:dyDescent="0.3">
      <c r="A9" t="s">
        <v>14</v>
      </c>
      <c r="B9" t="s">
        <v>15</v>
      </c>
      <c r="C9" t="s">
        <v>16</v>
      </c>
      <c r="D9" t="s">
        <v>17</v>
      </c>
      <c r="E9">
        <v>28</v>
      </c>
      <c r="F9">
        <v>4</v>
      </c>
      <c r="G9">
        <v>42000</v>
      </c>
      <c r="H9">
        <v>4000</v>
      </c>
      <c r="I9" t="s">
        <v>18</v>
      </c>
    </row>
    <row r="10" spans="1:9" x14ac:dyDescent="0.3">
      <c r="A10" t="s">
        <v>29</v>
      </c>
      <c r="B10" t="s">
        <v>30</v>
      </c>
      <c r="C10" t="s">
        <v>16</v>
      </c>
      <c r="D10" t="s">
        <v>17</v>
      </c>
      <c r="E10">
        <v>29</v>
      </c>
      <c r="F10">
        <v>5</v>
      </c>
      <c r="G10">
        <v>45000</v>
      </c>
      <c r="H10">
        <v>4200</v>
      </c>
      <c r="I10" t="s">
        <v>18</v>
      </c>
    </row>
    <row r="11" spans="1:9" x14ac:dyDescent="0.3">
      <c r="A11" t="s">
        <v>40</v>
      </c>
      <c r="B11" t="s">
        <v>41</v>
      </c>
      <c r="C11" t="s">
        <v>16</v>
      </c>
      <c r="D11" t="s">
        <v>12</v>
      </c>
      <c r="E11">
        <v>33</v>
      </c>
      <c r="F11">
        <v>8</v>
      </c>
      <c r="G11">
        <v>60000</v>
      </c>
      <c r="H11">
        <v>6500</v>
      </c>
      <c r="I11" t="s">
        <v>18</v>
      </c>
    </row>
    <row r="12" spans="1:9" x14ac:dyDescent="0.3">
      <c r="A12" t="s">
        <v>48</v>
      </c>
      <c r="B12" t="s">
        <v>49</v>
      </c>
      <c r="C12" t="s">
        <v>16</v>
      </c>
      <c r="D12" t="s">
        <v>12</v>
      </c>
      <c r="E12">
        <v>36</v>
      </c>
      <c r="F12">
        <v>11</v>
      </c>
      <c r="G12">
        <v>75000</v>
      </c>
      <c r="H12">
        <v>9000</v>
      </c>
      <c r="I12" t="s">
        <v>18</v>
      </c>
    </row>
    <row r="13" spans="1:9" x14ac:dyDescent="0.3">
      <c r="A13" t="s">
        <v>56</v>
      </c>
      <c r="B13" t="s">
        <v>57</v>
      </c>
      <c r="C13" t="s">
        <v>16</v>
      </c>
      <c r="D13" t="s">
        <v>12</v>
      </c>
      <c r="E13">
        <v>26</v>
      </c>
      <c r="F13">
        <v>2</v>
      </c>
      <c r="G13">
        <v>36000</v>
      </c>
      <c r="H13">
        <v>3000</v>
      </c>
      <c r="I13" t="s">
        <v>33</v>
      </c>
    </row>
    <row r="14" spans="1:9" x14ac:dyDescent="0.3">
      <c r="A14" t="s">
        <v>9</v>
      </c>
      <c r="B14" t="s">
        <v>10</v>
      </c>
      <c r="C14" t="s">
        <v>11</v>
      </c>
      <c r="D14" t="s">
        <v>12</v>
      </c>
      <c r="E14">
        <v>25</v>
      </c>
      <c r="F14">
        <v>2</v>
      </c>
      <c r="G14">
        <v>35000</v>
      </c>
      <c r="H14">
        <v>3000</v>
      </c>
      <c r="I14" t="s">
        <v>13</v>
      </c>
    </row>
    <row r="15" spans="1:9" x14ac:dyDescent="0.3">
      <c r="A15" t="s">
        <v>23</v>
      </c>
      <c r="B15" t="s">
        <v>24</v>
      </c>
      <c r="C15" t="s">
        <v>11</v>
      </c>
      <c r="D15" t="s">
        <v>17</v>
      </c>
      <c r="E15">
        <v>26</v>
      </c>
      <c r="F15">
        <v>3</v>
      </c>
      <c r="G15">
        <v>38000</v>
      </c>
      <c r="H15">
        <v>3500</v>
      </c>
      <c r="I15" t="s">
        <v>13</v>
      </c>
    </row>
    <row r="16" spans="1:9" x14ac:dyDescent="0.3">
      <c r="A16" t="s">
        <v>31</v>
      </c>
      <c r="B16" t="s">
        <v>32</v>
      </c>
      <c r="C16" t="s">
        <v>11</v>
      </c>
      <c r="D16" t="s">
        <v>12</v>
      </c>
      <c r="E16">
        <v>35</v>
      </c>
      <c r="F16">
        <v>10</v>
      </c>
      <c r="G16">
        <v>70000</v>
      </c>
      <c r="H16">
        <v>8000</v>
      </c>
      <c r="I16" t="s">
        <v>33</v>
      </c>
    </row>
    <row r="17" spans="1:9" x14ac:dyDescent="0.3">
      <c r="A17" t="s">
        <v>38</v>
      </c>
      <c r="B17" t="s">
        <v>39</v>
      </c>
      <c r="C17" t="s">
        <v>11</v>
      </c>
      <c r="D17" t="s">
        <v>17</v>
      </c>
      <c r="E17">
        <v>24</v>
      </c>
      <c r="F17">
        <v>1</v>
      </c>
      <c r="G17">
        <v>32000</v>
      </c>
      <c r="H17">
        <v>2500</v>
      </c>
      <c r="I17" t="s">
        <v>13</v>
      </c>
    </row>
    <row r="18" spans="1:9" x14ac:dyDescent="0.3">
      <c r="A18" t="s">
        <v>46</v>
      </c>
      <c r="B18" t="s">
        <v>47</v>
      </c>
      <c r="C18" t="s">
        <v>11</v>
      </c>
      <c r="D18" t="s">
        <v>17</v>
      </c>
      <c r="E18">
        <v>27</v>
      </c>
      <c r="F18">
        <v>3</v>
      </c>
      <c r="G18">
        <v>39000</v>
      </c>
      <c r="H18">
        <v>3600</v>
      </c>
      <c r="I18" t="s">
        <v>33</v>
      </c>
    </row>
    <row r="19" spans="1:9" x14ac:dyDescent="0.3">
      <c r="A19" t="s">
        <v>54</v>
      </c>
      <c r="B19" t="s">
        <v>55</v>
      </c>
      <c r="C19" t="s">
        <v>11</v>
      </c>
      <c r="D19" t="s">
        <v>17</v>
      </c>
      <c r="E19">
        <v>28</v>
      </c>
      <c r="F19">
        <v>4</v>
      </c>
      <c r="G19">
        <v>43000</v>
      </c>
      <c r="H19">
        <v>4000</v>
      </c>
      <c r="I19" t="s">
        <v>13</v>
      </c>
    </row>
    <row r="20" spans="1:9" x14ac:dyDescent="0.3">
      <c r="A20" t="s">
        <v>25</v>
      </c>
      <c r="B20" t="s">
        <v>26</v>
      </c>
      <c r="C20" t="s">
        <v>27</v>
      </c>
      <c r="D20" t="s">
        <v>12</v>
      </c>
      <c r="E20">
        <v>30</v>
      </c>
      <c r="F20">
        <v>5</v>
      </c>
      <c r="G20">
        <v>48000</v>
      </c>
      <c r="H20">
        <v>5000</v>
      </c>
      <c r="I20" t="s">
        <v>28</v>
      </c>
    </row>
    <row r="21" spans="1:9" x14ac:dyDescent="0.3">
      <c r="A21" t="s">
        <v>36</v>
      </c>
      <c r="B21" t="s">
        <v>37</v>
      </c>
      <c r="C21" t="s">
        <v>27</v>
      </c>
      <c r="D21" t="s">
        <v>12</v>
      </c>
      <c r="E21">
        <v>27</v>
      </c>
      <c r="F21">
        <v>3</v>
      </c>
      <c r="G21">
        <v>40000</v>
      </c>
      <c r="H21">
        <v>3500</v>
      </c>
      <c r="I21" t="s">
        <v>28</v>
      </c>
    </row>
    <row r="22" spans="1:9" x14ac:dyDescent="0.3">
      <c r="A22" t="s">
        <v>44</v>
      </c>
      <c r="B22" t="s">
        <v>45</v>
      </c>
      <c r="C22" t="s">
        <v>27</v>
      </c>
      <c r="D22" t="s">
        <v>12</v>
      </c>
      <c r="E22">
        <v>29</v>
      </c>
      <c r="F22">
        <v>4</v>
      </c>
      <c r="G22">
        <v>45000</v>
      </c>
      <c r="H22">
        <v>4500</v>
      </c>
      <c r="I22" t="s">
        <v>28</v>
      </c>
    </row>
    <row r="23" spans="1:9" x14ac:dyDescent="0.3">
      <c r="A23" t="s">
        <v>52</v>
      </c>
      <c r="B23" t="s">
        <v>53</v>
      </c>
      <c r="C23" t="s">
        <v>27</v>
      </c>
      <c r="D23" t="s">
        <v>12</v>
      </c>
      <c r="E23">
        <v>31</v>
      </c>
      <c r="F23">
        <v>6</v>
      </c>
      <c r="G23">
        <v>52000</v>
      </c>
      <c r="H23">
        <v>5500</v>
      </c>
      <c r="I23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9E3F-E8E6-49FC-A3E2-3EFF9FFDCE2C}">
  <dimension ref="A1:Q48"/>
  <sheetViews>
    <sheetView showGridLines="0" zoomScale="45" zoomScaleNormal="54" workbookViewId="0">
      <selection activeCell="M91" sqref="M91"/>
    </sheetView>
  </sheetViews>
  <sheetFormatPr defaultRowHeight="14.4" x14ac:dyDescent="0.3"/>
  <cols>
    <col min="1" max="1" width="15.44140625" customWidth="1"/>
    <col min="2" max="2" width="19.6640625" customWidth="1"/>
    <col min="4" max="4" width="42.5546875" customWidth="1"/>
    <col min="5" max="5" width="21.88671875" customWidth="1"/>
    <col min="9" max="9" width="6.5546875" customWidth="1"/>
    <col min="10" max="10" width="8.88671875" hidden="1" customWidth="1"/>
    <col min="12" max="12" width="14" customWidth="1"/>
    <col min="13" max="13" width="51.44140625" customWidth="1"/>
  </cols>
  <sheetData>
    <row r="1" spans="1:17" ht="37.200000000000003" customHeight="1" x14ac:dyDescent="0.8">
      <c r="K1" s="21"/>
      <c r="L1" s="21"/>
      <c r="M1" s="21"/>
      <c r="N1" s="22" t="s">
        <v>64</v>
      </c>
      <c r="O1" s="23"/>
      <c r="P1" s="21"/>
      <c r="Q1" s="21"/>
    </row>
    <row r="2" spans="1:17" ht="14.4" customHeight="1" x14ac:dyDescent="0.55000000000000004">
      <c r="K2" s="14"/>
      <c r="L2" s="14"/>
      <c r="M2" s="14"/>
    </row>
    <row r="3" spans="1:17" ht="14.4" customHeight="1" x14ac:dyDescent="0.55000000000000004">
      <c r="K3" s="14"/>
      <c r="L3" s="14"/>
      <c r="M3" s="14"/>
    </row>
    <row r="4" spans="1:17" ht="25.8" x14ac:dyDescent="0.5">
      <c r="D4" s="10" t="s">
        <v>77</v>
      </c>
      <c r="E4" s="10" t="s">
        <v>78</v>
      </c>
    </row>
    <row r="5" spans="1:17" ht="25.8" x14ac:dyDescent="0.5">
      <c r="D5" s="7" t="s">
        <v>60</v>
      </c>
      <c r="E5" s="8">
        <v>20</v>
      </c>
    </row>
    <row r="6" spans="1:17" ht="25.8" x14ac:dyDescent="0.5">
      <c r="D6" s="7" t="s">
        <v>61</v>
      </c>
      <c r="E6" s="9">
        <v>48850</v>
      </c>
    </row>
    <row r="7" spans="1:17" ht="25.8" x14ac:dyDescent="0.5">
      <c r="D7" s="7" t="s">
        <v>62</v>
      </c>
      <c r="E7" s="9">
        <v>75000</v>
      </c>
    </row>
    <row r="8" spans="1:17" ht="25.8" x14ac:dyDescent="0.5">
      <c r="D8" s="7" t="s">
        <v>63</v>
      </c>
      <c r="E8" s="9">
        <v>32000</v>
      </c>
    </row>
    <row r="15" spans="1:17" x14ac:dyDescent="0.3">
      <c r="A15" s="15"/>
      <c r="B15" s="15"/>
      <c r="L15" s="1"/>
    </row>
    <row r="29" spans="1:13" x14ac:dyDescent="0.3">
      <c r="A29" s="1"/>
      <c r="L29" s="1"/>
      <c r="M29" s="1"/>
    </row>
    <row r="30" spans="1:13" x14ac:dyDescent="0.3">
      <c r="G30" t="s">
        <v>79</v>
      </c>
    </row>
    <row r="45" spans="1:13" ht="8.4" customHeight="1" x14ac:dyDescent="0.3"/>
    <row r="48" spans="1:13" x14ac:dyDescent="0.3">
      <c r="A48" s="1"/>
      <c r="L48" s="16"/>
      <c r="M48" s="15"/>
    </row>
  </sheetData>
  <mergeCells count="2">
    <mergeCell ref="A15:B15"/>
    <mergeCell ref="L48:M4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58DD-BB7D-431F-BA0D-829D4A38959A}">
  <dimension ref="A1:Q44"/>
  <sheetViews>
    <sheetView tabSelected="1" zoomScale="51" zoomScaleNormal="95" workbookViewId="0">
      <pane ySplit="1" topLeftCell="A2" activePane="bottomLeft" state="frozen"/>
      <selection activeCell="C1" sqref="C1"/>
      <selection pane="bottomLeft" activeCell="K14" sqref="K14"/>
    </sheetView>
  </sheetViews>
  <sheetFormatPr defaultRowHeight="14.4" x14ac:dyDescent="0.3"/>
  <cols>
    <col min="1" max="1" width="29.77734375" customWidth="1"/>
    <col min="2" max="2" width="33.109375" customWidth="1"/>
    <col min="3" max="4" width="26.21875" customWidth="1"/>
    <col min="5" max="5" width="33.44140625" customWidth="1"/>
    <col min="6" max="7" width="26.21875" customWidth="1"/>
    <col min="8" max="8" width="37.5546875" customWidth="1"/>
    <col min="9" max="15" width="26.21875" customWidth="1"/>
    <col min="16" max="16" width="19.77734375" bestFit="1" customWidth="1"/>
    <col min="17" max="17" width="15.88671875" bestFit="1" customWidth="1"/>
  </cols>
  <sheetData>
    <row r="1" spans="1:9" ht="25.8" x14ac:dyDescent="0.3">
      <c r="A1" s="35" t="s">
        <v>64</v>
      </c>
      <c r="B1" s="19"/>
      <c r="C1" s="19"/>
      <c r="D1" s="19"/>
      <c r="E1" s="19"/>
      <c r="F1" s="19"/>
      <c r="G1" s="19"/>
      <c r="H1" s="19"/>
      <c r="I1" s="20"/>
    </row>
    <row r="2" spans="1:9" ht="21" x14ac:dyDescent="0.4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21" x14ac:dyDescent="0.3">
      <c r="A3" s="32" t="s">
        <v>9</v>
      </c>
      <c r="B3" s="32" t="s">
        <v>10</v>
      </c>
      <c r="C3" s="32" t="s">
        <v>11</v>
      </c>
      <c r="D3" s="32" t="s">
        <v>12</v>
      </c>
      <c r="E3" s="32">
        <v>25</v>
      </c>
      <c r="F3" s="32">
        <v>2</v>
      </c>
      <c r="G3" s="33">
        <v>35000</v>
      </c>
      <c r="H3" s="34">
        <v>3000</v>
      </c>
      <c r="I3" s="32" t="s">
        <v>13</v>
      </c>
    </row>
    <row r="4" spans="1:9" ht="21" x14ac:dyDescent="0.3">
      <c r="A4" s="32" t="s">
        <v>14</v>
      </c>
      <c r="B4" s="32" t="s">
        <v>15</v>
      </c>
      <c r="C4" s="32" t="s">
        <v>16</v>
      </c>
      <c r="D4" s="32" t="s">
        <v>17</v>
      </c>
      <c r="E4" s="32">
        <v>28</v>
      </c>
      <c r="F4" s="32">
        <v>4</v>
      </c>
      <c r="G4" s="33">
        <v>42000</v>
      </c>
      <c r="H4" s="34">
        <v>4000</v>
      </c>
      <c r="I4" s="32" t="s">
        <v>18</v>
      </c>
    </row>
    <row r="5" spans="1:9" ht="21" x14ac:dyDescent="0.3">
      <c r="A5" s="32" t="s">
        <v>19</v>
      </c>
      <c r="B5" s="32" t="s">
        <v>20</v>
      </c>
      <c r="C5" s="32" t="s">
        <v>21</v>
      </c>
      <c r="D5" s="32" t="s">
        <v>12</v>
      </c>
      <c r="E5" s="32">
        <v>32</v>
      </c>
      <c r="F5" s="32">
        <v>7</v>
      </c>
      <c r="G5" s="33">
        <v>55000</v>
      </c>
      <c r="H5" s="34">
        <v>6000</v>
      </c>
      <c r="I5" s="32" t="s">
        <v>22</v>
      </c>
    </row>
    <row r="6" spans="1:9" ht="21" x14ac:dyDescent="0.3">
      <c r="A6" s="32" t="s">
        <v>23</v>
      </c>
      <c r="B6" s="32" t="s">
        <v>24</v>
      </c>
      <c r="C6" s="32" t="s">
        <v>11</v>
      </c>
      <c r="D6" s="32" t="s">
        <v>17</v>
      </c>
      <c r="E6" s="32">
        <v>26</v>
      </c>
      <c r="F6" s="32">
        <v>3</v>
      </c>
      <c r="G6" s="33">
        <v>38000</v>
      </c>
      <c r="H6" s="34">
        <v>3500</v>
      </c>
      <c r="I6" s="32" t="s">
        <v>13</v>
      </c>
    </row>
    <row r="7" spans="1:9" ht="21" x14ac:dyDescent="0.3">
      <c r="A7" s="32" t="s">
        <v>25</v>
      </c>
      <c r="B7" s="32" t="s">
        <v>26</v>
      </c>
      <c r="C7" s="32" t="s">
        <v>27</v>
      </c>
      <c r="D7" s="32" t="s">
        <v>12</v>
      </c>
      <c r="E7" s="32">
        <v>30</v>
      </c>
      <c r="F7" s="32">
        <v>5</v>
      </c>
      <c r="G7" s="33">
        <v>48000</v>
      </c>
      <c r="H7" s="34">
        <v>5000</v>
      </c>
      <c r="I7" s="32" t="s">
        <v>28</v>
      </c>
    </row>
    <row r="8" spans="1:9" ht="21" x14ac:dyDescent="0.3">
      <c r="A8" s="32" t="s">
        <v>29</v>
      </c>
      <c r="B8" s="32" t="s">
        <v>30</v>
      </c>
      <c r="C8" s="32" t="s">
        <v>16</v>
      </c>
      <c r="D8" s="32" t="s">
        <v>17</v>
      </c>
      <c r="E8" s="32">
        <v>29</v>
      </c>
      <c r="F8" s="32">
        <v>5</v>
      </c>
      <c r="G8" s="33">
        <v>45000</v>
      </c>
      <c r="H8" s="34">
        <v>4200</v>
      </c>
      <c r="I8" s="32" t="s">
        <v>18</v>
      </c>
    </row>
    <row r="9" spans="1:9" ht="21" x14ac:dyDescent="0.3">
      <c r="A9" s="32" t="s">
        <v>31</v>
      </c>
      <c r="B9" s="32" t="s">
        <v>32</v>
      </c>
      <c r="C9" s="32" t="s">
        <v>11</v>
      </c>
      <c r="D9" s="32" t="s">
        <v>12</v>
      </c>
      <c r="E9" s="32">
        <v>35</v>
      </c>
      <c r="F9" s="32">
        <v>10</v>
      </c>
      <c r="G9" s="33">
        <v>70000</v>
      </c>
      <c r="H9" s="34">
        <v>8000</v>
      </c>
      <c r="I9" s="32" t="s">
        <v>33</v>
      </c>
    </row>
    <row r="10" spans="1:9" ht="21" x14ac:dyDescent="0.3">
      <c r="A10" s="32" t="s">
        <v>34</v>
      </c>
      <c r="B10" s="32" t="s">
        <v>35</v>
      </c>
      <c r="C10" s="32" t="s">
        <v>21</v>
      </c>
      <c r="D10" s="32" t="s">
        <v>17</v>
      </c>
      <c r="E10" s="32">
        <v>31</v>
      </c>
      <c r="F10" s="32">
        <v>6</v>
      </c>
      <c r="G10" s="33">
        <v>53000</v>
      </c>
      <c r="H10" s="34">
        <v>5500</v>
      </c>
      <c r="I10" s="32" t="s">
        <v>22</v>
      </c>
    </row>
    <row r="11" spans="1:9" ht="21" x14ac:dyDescent="0.3">
      <c r="A11" s="32" t="s">
        <v>36</v>
      </c>
      <c r="B11" s="32" t="s">
        <v>37</v>
      </c>
      <c r="C11" s="32" t="s">
        <v>27</v>
      </c>
      <c r="D11" s="32" t="s">
        <v>12</v>
      </c>
      <c r="E11" s="32">
        <v>27</v>
      </c>
      <c r="F11" s="32">
        <v>3</v>
      </c>
      <c r="G11" s="33">
        <v>40000</v>
      </c>
      <c r="H11" s="34">
        <v>3500</v>
      </c>
      <c r="I11" s="32" t="s">
        <v>28</v>
      </c>
    </row>
    <row r="12" spans="1:9" ht="21" x14ac:dyDescent="0.3">
      <c r="A12" s="32" t="s">
        <v>38</v>
      </c>
      <c r="B12" s="32" t="s">
        <v>39</v>
      </c>
      <c r="C12" s="32" t="s">
        <v>11</v>
      </c>
      <c r="D12" s="32" t="s">
        <v>17</v>
      </c>
      <c r="E12" s="32">
        <v>24</v>
      </c>
      <c r="F12" s="32">
        <v>1</v>
      </c>
      <c r="G12" s="33">
        <v>32000</v>
      </c>
      <c r="H12" s="34">
        <v>2500</v>
      </c>
      <c r="I12" s="32" t="s">
        <v>13</v>
      </c>
    </row>
    <row r="13" spans="1:9" ht="21" x14ac:dyDescent="0.3">
      <c r="A13" s="32" t="s">
        <v>40</v>
      </c>
      <c r="B13" s="32" t="s">
        <v>41</v>
      </c>
      <c r="C13" s="32" t="s">
        <v>16</v>
      </c>
      <c r="D13" s="32" t="s">
        <v>12</v>
      </c>
      <c r="E13" s="32">
        <v>33</v>
      </c>
      <c r="F13" s="32">
        <v>8</v>
      </c>
      <c r="G13" s="33">
        <v>60000</v>
      </c>
      <c r="H13" s="34">
        <v>6500</v>
      </c>
      <c r="I13" s="32" t="s">
        <v>18</v>
      </c>
    </row>
    <row r="14" spans="1:9" ht="21" x14ac:dyDescent="0.3">
      <c r="A14" s="32" t="s">
        <v>42</v>
      </c>
      <c r="B14" s="32" t="s">
        <v>43</v>
      </c>
      <c r="C14" s="32" t="s">
        <v>21</v>
      </c>
      <c r="D14" s="32" t="s">
        <v>17</v>
      </c>
      <c r="E14" s="32">
        <v>30</v>
      </c>
      <c r="F14" s="32">
        <v>5</v>
      </c>
      <c r="G14" s="33">
        <v>50000</v>
      </c>
      <c r="H14" s="34">
        <v>5000</v>
      </c>
      <c r="I14" s="32" t="s">
        <v>22</v>
      </c>
    </row>
    <row r="15" spans="1:9" ht="21" x14ac:dyDescent="0.3">
      <c r="A15" s="32" t="s">
        <v>44</v>
      </c>
      <c r="B15" s="32" t="s">
        <v>45</v>
      </c>
      <c r="C15" s="32" t="s">
        <v>27</v>
      </c>
      <c r="D15" s="32" t="s">
        <v>12</v>
      </c>
      <c r="E15" s="32">
        <v>29</v>
      </c>
      <c r="F15" s="32">
        <v>4</v>
      </c>
      <c r="G15" s="33">
        <v>45000</v>
      </c>
      <c r="H15" s="34">
        <v>4500</v>
      </c>
      <c r="I15" s="32" t="s">
        <v>28</v>
      </c>
    </row>
    <row r="16" spans="1:9" ht="21" x14ac:dyDescent="0.3">
      <c r="A16" s="32" t="s">
        <v>46</v>
      </c>
      <c r="B16" s="32" t="s">
        <v>47</v>
      </c>
      <c r="C16" s="32" t="s">
        <v>11</v>
      </c>
      <c r="D16" s="32" t="s">
        <v>17</v>
      </c>
      <c r="E16" s="32">
        <v>27</v>
      </c>
      <c r="F16" s="32">
        <v>3</v>
      </c>
      <c r="G16" s="33">
        <v>39000</v>
      </c>
      <c r="H16" s="34">
        <v>3600</v>
      </c>
      <c r="I16" s="32" t="s">
        <v>33</v>
      </c>
    </row>
    <row r="17" spans="1:17" ht="21" x14ac:dyDescent="0.3">
      <c r="A17" s="32" t="s">
        <v>48</v>
      </c>
      <c r="B17" s="32" t="s">
        <v>49</v>
      </c>
      <c r="C17" s="32" t="s">
        <v>16</v>
      </c>
      <c r="D17" s="32" t="s">
        <v>12</v>
      </c>
      <c r="E17" s="32">
        <v>36</v>
      </c>
      <c r="F17" s="32">
        <v>11</v>
      </c>
      <c r="G17" s="33">
        <v>75000</v>
      </c>
      <c r="H17" s="34">
        <v>9000</v>
      </c>
      <c r="I17" s="32" t="s">
        <v>18</v>
      </c>
    </row>
    <row r="18" spans="1:17" ht="21" x14ac:dyDescent="0.3">
      <c r="A18" s="32" t="s">
        <v>50</v>
      </c>
      <c r="B18" s="32" t="s">
        <v>51</v>
      </c>
      <c r="C18" s="32" t="s">
        <v>21</v>
      </c>
      <c r="D18" s="32" t="s">
        <v>17</v>
      </c>
      <c r="E18" s="32">
        <v>34</v>
      </c>
      <c r="F18" s="32">
        <v>9</v>
      </c>
      <c r="G18" s="33">
        <v>68000</v>
      </c>
      <c r="H18" s="34">
        <v>7500</v>
      </c>
      <c r="I18" s="32" t="s">
        <v>22</v>
      </c>
    </row>
    <row r="19" spans="1:17" ht="21" x14ac:dyDescent="0.3">
      <c r="A19" s="32" t="s">
        <v>52</v>
      </c>
      <c r="B19" s="32" t="s">
        <v>53</v>
      </c>
      <c r="C19" s="32" t="s">
        <v>27</v>
      </c>
      <c r="D19" s="32" t="s">
        <v>12</v>
      </c>
      <c r="E19" s="32">
        <v>31</v>
      </c>
      <c r="F19" s="32">
        <v>6</v>
      </c>
      <c r="G19" s="33">
        <v>52000</v>
      </c>
      <c r="H19" s="34">
        <v>5500</v>
      </c>
      <c r="I19" s="32" t="s">
        <v>28</v>
      </c>
    </row>
    <row r="20" spans="1:17" ht="21" x14ac:dyDescent="0.3">
      <c r="A20" s="32" t="s">
        <v>54</v>
      </c>
      <c r="B20" s="32" t="s">
        <v>55</v>
      </c>
      <c r="C20" s="32" t="s">
        <v>11</v>
      </c>
      <c r="D20" s="32" t="s">
        <v>17</v>
      </c>
      <c r="E20" s="32">
        <v>28</v>
      </c>
      <c r="F20" s="32">
        <v>4</v>
      </c>
      <c r="G20" s="33">
        <v>43000</v>
      </c>
      <c r="H20" s="34">
        <v>4000</v>
      </c>
      <c r="I20" s="32" t="s">
        <v>13</v>
      </c>
    </row>
    <row r="21" spans="1:17" ht="21" x14ac:dyDescent="0.3">
      <c r="A21" s="32" t="s">
        <v>56</v>
      </c>
      <c r="B21" s="32" t="s">
        <v>57</v>
      </c>
      <c r="C21" s="32" t="s">
        <v>16</v>
      </c>
      <c r="D21" s="32" t="s">
        <v>12</v>
      </c>
      <c r="E21" s="32">
        <v>26</v>
      </c>
      <c r="F21" s="32">
        <v>2</v>
      </c>
      <c r="G21" s="33">
        <v>36000</v>
      </c>
      <c r="H21" s="34">
        <v>3000</v>
      </c>
      <c r="I21" s="32" t="s">
        <v>33</v>
      </c>
    </row>
    <row r="22" spans="1:17" ht="21" x14ac:dyDescent="0.3">
      <c r="A22" s="32" t="s">
        <v>58</v>
      </c>
      <c r="B22" s="32" t="s">
        <v>59</v>
      </c>
      <c r="C22" s="32" t="s">
        <v>21</v>
      </c>
      <c r="D22" s="32" t="s">
        <v>17</v>
      </c>
      <c r="E22" s="32">
        <v>29</v>
      </c>
      <c r="F22" s="32">
        <v>5</v>
      </c>
      <c r="G22" s="33">
        <v>51000</v>
      </c>
      <c r="H22" s="34">
        <v>5200</v>
      </c>
      <c r="I22" s="32" t="s">
        <v>22</v>
      </c>
    </row>
    <row r="26" spans="1:17" ht="23.4" x14ac:dyDescent="0.45">
      <c r="A26" s="11" t="s">
        <v>77</v>
      </c>
      <c r="B26" s="11" t="s">
        <v>78</v>
      </c>
      <c r="D26" s="24" t="s">
        <v>69</v>
      </c>
      <c r="E26" s="25"/>
      <c r="G26" s="24" t="s">
        <v>70</v>
      </c>
      <c r="H26" s="25"/>
    </row>
    <row r="27" spans="1:17" ht="23.4" x14ac:dyDescent="0.45">
      <c r="A27" s="11" t="s">
        <v>60</v>
      </c>
      <c r="B27" s="12">
        <f>COUNTA(A3:A22)</f>
        <v>20</v>
      </c>
      <c r="D27" s="26" t="s">
        <v>2</v>
      </c>
      <c r="E27" s="27" t="s">
        <v>67</v>
      </c>
      <c r="G27" s="26" t="s">
        <v>8</v>
      </c>
      <c r="H27" s="27" t="s">
        <v>67</v>
      </c>
      <c r="P27" s="17" t="s">
        <v>75</v>
      </c>
      <c r="Q27" s="18"/>
    </row>
    <row r="28" spans="1:17" ht="23.4" x14ac:dyDescent="0.45">
      <c r="A28" s="11" t="s">
        <v>61</v>
      </c>
      <c r="B28" s="13">
        <f>AVERAGE(G3:G22)</f>
        <v>48850</v>
      </c>
      <c r="D28" s="28" t="s">
        <v>21</v>
      </c>
      <c r="E28" s="27">
        <v>5</v>
      </c>
      <c r="G28" s="28" t="s">
        <v>13</v>
      </c>
      <c r="H28" s="27">
        <v>4</v>
      </c>
      <c r="P28" s="5" t="s">
        <v>2</v>
      </c>
      <c r="Q28" s="2" t="s">
        <v>68</v>
      </c>
    </row>
    <row r="29" spans="1:17" ht="23.4" x14ac:dyDescent="0.45">
      <c r="A29" s="11" t="s">
        <v>62</v>
      </c>
      <c r="B29" s="13">
        <f>MAX(G3:G22)</f>
        <v>75000</v>
      </c>
      <c r="D29" s="28" t="s">
        <v>16</v>
      </c>
      <c r="E29" s="27">
        <v>5</v>
      </c>
      <c r="G29" s="28" t="s">
        <v>22</v>
      </c>
      <c r="H29" s="27">
        <v>5</v>
      </c>
      <c r="P29" s="6" t="s">
        <v>21</v>
      </c>
      <c r="Q29" s="3">
        <v>29200</v>
      </c>
    </row>
    <row r="30" spans="1:17" ht="23.4" x14ac:dyDescent="0.45">
      <c r="A30" s="11" t="s">
        <v>63</v>
      </c>
      <c r="B30" s="13">
        <f>MIN(G3:G22)</f>
        <v>32000</v>
      </c>
      <c r="D30" s="28" t="s">
        <v>11</v>
      </c>
      <c r="E30" s="27">
        <v>6</v>
      </c>
      <c r="G30" s="28" t="s">
        <v>28</v>
      </c>
      <c r="H30" s="27">
        <v>4</v>
      </c>
      <c r="P30" s="6" t="s">
        <v>16</v>
      </c>
      <c r="Q30" s="3">
        <v>26700</v>
      </c>
    </row>
    <row r="31" spans="1:17" ht="23.4" x14ac:dyDescent="0.45">
      <c r="D31" s="28" t="s">
        <v>27</v>
      </c>
      <c r="E31" s="27">
        <v>4</v>
      </c>
      <c r="G31" s="28" t="s">
        <v>18</v>
      </c>
      <c r="H31" s="27">
        <v>4</v>
      </c>
      <c r="P31" s="6" t="s">
        <v>11</v>
      </c>
      <c r="Q31" s="3">
        <v>24600</v>
      </c>
    </row>
    <row r="32" spans="1:17" ht="23.4" x14ac:dyDescent="0.45">
      <c r="D32" s="28" t="s">
        <v>65</v>
      </c>
      <c r="E32" s="27">
        <v>20</v>
      </c>
      <c r="G32" s="28" t="s">
        <v>33</v>
      </c>
      <c r="H32" s="27">
        <v>3</v>
      </c>
      <c r="P32" s="6" t="s">
        <v>27</v>
      </c>
      <c r="Q32" s="3">
        <v>18500</v>
      </c>
    </row>
    <row r="33" spans="1:17" ht="23.4" x14ac:dyDescent="0.45">
      <c r="G33" s="28" t="s">
        <v>65</v>
      </c>
      <c r="H33" s="27">
        <v>20</v>
      </c>
      <c r="P33" s="6" t="s">
        <v>65</v>
      </c>
      <c r="Q33" s="3">
        <v>99000</v>
      </c>
    </row>
    <row r="37" spans="1:17" ht="23.4" x14ac:dyDescent="0.45">
      <c r="A37" s="30" t="s">
        <v>71</v>
      </c>
      <c r="B37" s="31"/>
      <c r="D37" s="30" t="s">
        <v>72</v>
      </c>
      <c r="E37" s="31"/>
      <c r="G37" s="30" t="s">
        <v>74</v>
      </c>
      <c r="H37" s="31"/>
    </row>
    <row r="38" spans="1:17" ht="23.4" x14ac:dyDescent="0.45">
      <c r="A38" s="26" t="s">
        <v>2</v>
      </c>
      <c r="B38" s="27" t="s">
        <v>66</v>
      </c>
      <c r="D38" s="26" t="s">
        <v>8</v>
      </c>
      <c r="E38" s="27" t="s">
        <v>66</v>
      </c>
      <c r="G38" s="26" t="s">
        <v>3</v>
      </c>
      <c r="H38" s="27" t="s">
        <v>67</v>
      </c>
    </row>
    <row r="39" spans="1:17" ht="23.4" x14ac:dyDescent="0.45">
      <c r="A39" s="28" t="s">
        <v>21</v>
      </c>
      <c r="B39" s="29">
        <v>55400</v>
      </c>
      <c r="D39" s="28" t="s">
        <v>13</v>
      </c>
      <c r="E39" s="29">
        <v>37000</v>
      </c>
      <c r="G39" s="28" t="s">
        <v>17</v>
      </c>
      <c r="H39" s="27">
        <v>10</v>
      </c>
    </row>
    <row r="40" spans="1:17" ht="23.4" x14ac:dyDescent="0.45">
      <c r="A40" s="28" t="s">
        <v>16</v>
      </c>
      <c r="B40" s="29">
        <v>51600</v>
      </c>
      <c r="D40" s="28" t="s">
        <v>22</v>
      </c>
      <c r="E40" s="29">
        <v>55400</v>
      </c>
      <c r="G40" s="28" t="s">
        <v>12</v>
      </c>
      <c r="H40" s="27">
        <v>10</v>
      </c>
    </row>
    <row r="41" spans="1:17" ht="23.4" x14ac:dyDescent="0.45">
      <c r="A41" s="28" t="s">
        <v>11</v>
      </c>
      <c r="B41" s="29">
        <v>42833.333333333336</v>
      </c>
      <c r="D41" s="28" t="s">
        <v>28</v>
      </c>
      <c r="E41" s="29">
        <v>46250</v>
      </c>
      <c r="G41" s="28" t="s">
        <v>65</v>
      </c>
      <c r="H41" s="27">
        <v>20</v>
      </c>
    </row>
    <row r="42" spans="1:17" ht="23.4" x14ac:dyDescent="0.45">
      <c r="A42" s="28" t="s">
        <v>27</v>
      </c>
      <c r="B42" s="29">
        <v>46250</v>
      </c>
      <c r="D42" s="28" t="s">
        <v>18</v>
      </c>
      <c r="E42" s="29">
        <v>55500</v>
      </c>
    </row>
    <row r="43" spans="1:17" ht="23.4" x14ac:dyDescent="0.45">
      <c r="A43" s="28" t="s">
        <v>65</v>
      </c>
      <c r="B43" s="29">
        <v>48850</v>
      </c>
      <c r="D43" s="28" t="s">
        <v>33</v>
      </c>
      <c r="E43" s="29">
        <v>48333.333333333336</v>
      </c>
    </row>
    <row r="44" spans="1:17" ht="23.4" x14ac:dyDescent="0.45">
      <c r="D44" s="28" t="s">
        <v>65</v>
      </c>
      <c r="E44" s="29">
        <v>48850</v>
      </c>
    </row>
  </sheetData>
  <mergeCells count="7">
    <mergeCell ref="P27:Q27"/>
    <mergeCell ref="A1:I1"/>
    <mergeCell ref="D26:E26"/>
    <mergeCell ref="G26:H26"/>
    <mergeCell ref="A37:B37"/>
    <mergeCell ref="D37:E37"/>
    <mergeCell ref="G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Detail_Report</vt:lpstr>
      <vt:lpstr>Dashboard</vt:lpstr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 pinto</dc:creator>
  <cp:lastModifiedBy>Alisha pinto</cp:lastModifiedBy>
  <dcterms:created xsi:type="dcterms:W3CDTF">2026-06-12T09:26:18Z</dcterms:created>
  <dcterms:modified xsi:type="dcterms:W3CDTF">2026-06-15T19:26:38Z</dcterms:modified>
</cp:coreProperties>
</file>